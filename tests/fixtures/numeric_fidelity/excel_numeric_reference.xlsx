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\.codex\worktrees\numeric-fidelity\excel-template-writer\tests\fixtures\numeric_fidelity\"/>
    </mc:Choice>
  </mc:AlternateContent>
  <xr:revisionPtr revIDLastSave="0" documentId="8_{57A17604-6957-490D-B184-D93CFA1AD684}" xr6:coauthVersionLast="47" xr6:coauthVersionMax="47" xr10:uidLastSave="{00000000-0000-0000-0000-000000000000}"/>
  <bookViews>
    <workbookView xWindow="-27630" yWindow="1170" windowWidth="21600" windowHeight="11295" xr2:uid="{785066EF-885F-49A6-95BB-D0C507072734}"/>
  </bookViews>
  <sheets>
    <sheet name="NumericReference" sheetId="1" r:id="rId1"/>
  </sheets>
  <definedNames>
    <definedName name="exact_add">NumericReference!$B$19</definedName>
    <definedName name="exact_divide">NumericReference!$B$22</definedName>
    <definedName name="exact_multiply">NumericReference!$B$21</definedName>
    <definedName name="exact_subtract">NumericReference!$B$20</definedName>
    <definedName name="precision_01">NumericReference!$B$2</definedName>
    <definedName name="precision_02">NumericReference!$B$3</definedName>
    <definedName name="precision_03">NumericReference!$B$4</definedName>
    <definedName name="precision_04">NumericReference!$B$5</definedName>
    <definedName name="precision_05">NumericReference!$B$6</definedName>
    <definedName name="precision_06">NumericReference!$B$7</definedName>
    <definedName name="precision_07">NumericReference!$B$8</definedName>
    <definedName name="precision_08">NumericReference!$B$9</definedName>
    <definedName name="precision_09">NumericReference!$B$10</definedName>
    <definedName name="precision_10">NumericReference!$B$11</definedName>
    <definedName name="precision_11">NumericReference!$B$12</definedName>
    <definedName name="precision_12">NumericReference!$B$13</definedName>
    <definedName name="precision_13">NumericReference!$B$14</definedName>
    <definedName name="precision_14">NumericReference!$B$15</definedName>
    <definedName name="precision_15">NumericReference!$B$16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<sst xmlns="http://schemas.openxmlformats.org/spreadsheetml/2006/main" count="44" uniqueCount="27">
  <si>
    <t>Case / significant digits</t>
  </si>
  <si>
    <t>Excel-calculated result</t>
  </si>
  <si>
    <t>Comparison mode</t>
  </si>
  <si>
    <t>Literal amounts above prove decimal transport only.</t>
  </si>
  <si>
    <t>Exact binary-fraction operation</t>
  </si>
  <si>
    <t>Same binary inputs; one explicit operation</t>
  </si>
  <si>
    <t>precision_01</t>
  </si>
  <si>
    <t>decimal_amount</t>
  </si>
  <si>
    <t>precision_02</t>
  </si>
  <si>
    <t>precision_03</t>
  </si>
  <si>
    <t>precision_04</t>
  </si>
  <si>
    <t>precision_05</t>
  </si>
  <si>
    <t>precision_06</t>
  </si>
  <si>
    <t>precision_07</t>
  </si>
  <si>
    <t>precision_08</t>
  </si>
  <si>
    <t>precision_09</t>
  </si>
  <si>
    <t>precision_10</t>
  </si>
  <si>
    <t>precision_11</t>
  </si>
  <si>
    <t>precision_12</t>
  </si>
  <si>
    <t>precision_13</t>
  </si>
  <si>
    <t>precision_14</t>
  </si>
  <si>
    <t>precision_15</t>
  </si>
  <si>
    <t>exact_add</t>
  </si>
  <si>
    <t>binary64_exact</t>
  </si>
  <si>
    <t>exact_subtract</t>
  </si>
  <si>
    <t>exact_multiply</t>
  </si>
  <si>
    <t>exact_divide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</si>
</sst>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69F9-B6F5-4EEE-A530-5C091A7F24C3}">
  <dimension ref="A1:C22"/>
  <sheetViews>
    <sheetView tabSelected="1" workbookViewId="0"/>
  </sheetViews>
  <sheetFormatPr defaultRowHeight="15" x14ac:dyDescent="0.25"/>
  <cols>
    <col min="1" max="1" width="48.28515625" bestFit="1" customWidth="1"/>
    <col min="2" max="2" width="21.140625" bestFit="1" customWidth="1"/>
    <col min="3" max="3" width="3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s="1">
        <f>0.3</f>
        <v>0.3</v>
      </c>
      <c r="C2" t="s">
        <v>7</v>
      </c>
    </row>
    <row r="3" spans="1:3" x14ac:dyDescent="0.25">
      <c r="A3" t="s">
        <v>8</v>
      </c>
      <c r="B3" s="1">
        <f>0.31</f>
        <v>0.31</v>
      </c>
      <c r="C3" t="s">
        <v>7</v>
      </c>
    </row>
    <row r="4" spans="1:3" x14ac:dyDescent="0.25">
      <c r="A4" t="s">
        <v>9</v>
      </c>
      <c r="B4" s="1">
        <f>0.314</f>
        <v>0.314</v>
      </c>
      <c r="C4" t="s">
        <v>7</v>
      </c>
    </row>
    <row r="5" spans="1:3" x14ac:dyDescent="0.25">
      <c r="A5" t="s">
        <v>10</v>
      </c>
      <c r="B5" s="1">
        <f>0.3141</f>
        <v>0.31409999999999999</v>
      </c>
      <c r="C5" t="s">
        <v>7</v>
      </c>
    </row>
    <row r="6" spans="1:3" x14ac:dyDescent="0.25">
      <c r="A6" t="s">
        <v>11</v>
      </c>
      <c r="B6" s="1">
        <f>0.31415</f>
        <v>0.31414999999999998</v>
      </c>
      <c r="C6" t="s">
        <v>7</v>
      </c>
    </row>
    <row r="7" spans="1:3" x14ac:dyDescent="0.25">
      <c r="A7" t="s">
        <v>12</v>
      </c>
      <c r="B7" s="1">
        <f>0.314159</f>
        <v>0.31415900000000002</v>
      </c>
      <c r="C7" t="s">
        <v>7</v>
      </c>
    </row>
    <row r="8" spans="1:3" x14ac:dyDescent="0.25">
      <c r="A8" t="s">
        <v>13</v>
      </c>
      <c r="B8" s="1">
        <f>0.3141592</f>
        <v>0.31415920000000003</v>
      </c>
      <c r="C8" t="s">
        <v>7</v>
      </c>
    </row>
    <row r="9" spans="1:3" x14ac:dyDescent="0.25">
      <c r="A9" t="s">
        <v>14</v>
      </c>
      <c r="B9" s="1">
        <f>0.31415926</f>
        <v>0.31415926</v>
      </c>
      <c r="C9" t="s">
        <v>7</v>
      </c>
    </row>
    <row r="10" spans="1:3" x14ac:dyDescent="0.25">
      <c r="A10" t="s">
        <v>15</v>
      </c>
      <c r="B10" s="1">
        <f>0.314159265</f>
        <v>0.31415926500000002</v>
      </c>
      <c r="C10" t="s">
        <v>7</v>
      </c>
    </row>
    <row r="11" spans="1:3" x14ac:dyDescent="0.25">
      <c r="A11" t="s">
        <v>16</v>
      </c>
      <c r="B11" s="1">
        <f>0.3141592653</f>
        <v>0.31415926529999999</v>
      </c>
      <c r="C11" t="s">
        <v>7</v>
      </c>
    </row>
    <row r="12" spans="1:3" x14ac:dyDescent="0.25">
      <c r="A12" t="s">
        <v>17</v>
      </c>
      <c r="B12" s="1">
        <f>0.31415926535</f>
        <v>0.31415926534999999</v>
      </c>
      <c r="C12" t="s">
        <v>7</v>
      </c>
    </row>
    <row r="13" spans="1:3" x14ac:dyDescent="0.25">
      <c r="A13" t="s">
        <v>18</v>
      </c>
      <c r="B13" s="1">
        <f>0.314159265358</f>
        <v>0.31415926535799998</v>
      </c>
      <c r="C13" t="s">
        <v>7</v>
      </c>
    </row>
    <row r="14" spans="1:3" x14ac:dyDescent="0.25">
      <c r="A14" t="s">
        <v>19</v>
      </c>
      <c r="B14" s="1">
        <f>0.3141592653589</f>
        <v>0.31415926535889999</v>
      </c>
      <c r="C14" t="s">
        <v>7</v>
      </c>
    </row>
    <row r="15" spans="1:3" x14ac:dyDescent="0.25">
      <c r="A15" t="s">
        <v>20</v>
      </c>
      <c r="B15" s="1">
        <f>0.31415926535897</f>
        <v>0.31415926535896999</v>
      </c>
      <c r="C15" t="s">
        <v>7</v>
      </c>
    </row>
    <row r="16" spans="1:3" x14ac:dyDescent="0.25">
      <c r="A16" t="s">
        <v>21</v>
      </c>
      <c r="B16" s="1">
        <f>0.314159265358979</f>
        <v>0.31415926535897898</v>
      </c>
      <c r="C16" t="s">
        <v>7</v>
      </c>
    </row>
    <row r="17" spans="1:3" x14ac:dyDescent="0.25">
      <c r="A17" t="s">
        <v>3</v>
      </c>
    </row>
    <row r="18" spans="1:3" x14ac:dyDescent="0.25">
      <c r="A18" t="s">
        <v>4</v>
      </c>
      <c r="C18" t="s">
        <v>5</v>
      </c>
    </row>
    <row r="19" spans="1:3" x14ac:dyDescent="0.25">
      <c r="A19" t="s">
        <v>22</v>
      </c>
      <c r="B19" s="1">
        <f>0.5+0.25</f>
        <v>0.75</v>
      </c>
      <c r="C19" t="s">
        <v>23</v>
      </c>
    </row>
    <row r="20" spans="1:3" x14ac:dyDescent="0.25">
      <c r="A20" t="s">
        <v>24</v>
      </c>
      <c r="B20" s="1">
        <f>1.5-0.25</f>
        <v>1.25</v>
      </c>
      <c r="C20" t="s">
        <v>23</v>
      </c>
    </row>
    <row r="21" spans="1:3" x14ac:dyDescent="0.25">
      <c r="A21" t="s">
        <v>25</v>
      </c>
      <c r="B21" s="1">
        <f>1.125*2</f>
        <v>2.25</v>
      </c>
      <c r="C21" t="s">
        <v>23</v>
      </c>
    </row>
    <row r="22" spans="1:3" x14ac:dyDescent="0.25">
      <c r="A22" t="s">
        <v>26</v>
      </c>
      <c r="B22" s="1">
        <f>5/2</f>
        <v>2.5</v>
      </c>
      <c r="C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NumericReference</vt:lpstr>
      <vt:lpstr>exact_add</vt:lpstr>
      <vt:lpstr>exact_divide</vt:lpstr>
      <vt:lpstr>exact_multiply</vt:lpstr>
      <vt:lpstr>exact_subtract</vt:lpstr>
      <vt:lpstr>precision_01</vt:lpstr>
      <vt:lpstr>precision_02</vt:lpstr>
      <vt:lpstr>precision_03</vt:lpstr>
      <vt:lpstr>precision_04</vt:lpstr>
      <vt:lpstr>precision_05</vt:lpstr>
      <vt:lpstr>precision_06</vt:lpstr>
      <vt:lpstr>precision_07</vt:lpstr>
      <vt:lpstr>precision_08</vt:lpstr>
      <vt:lpstr>precision_09</vt:lpstr>
      <vt:lpstr>precision_10</vt:lpstr>
      <vt:lpstr>precision_11</vt:lpstr>
      <vt:lpstr>precision_12</vt:lpstr>
      <vt:lpstr>precision_13</vt:lpstr>
      <vt:lpstr>precision_14</vt:lpstr>
      <vt:lpstr>precision_15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</dc:creator>
  <cp:lastModifiedBy>Kelvin</cp:lastModifiedBy>
  <dcterms:created xsi:type="dcterms:W3CDTF">2026-10-02T00:28:49Z</dcterms:created>
  <dcterms:modified xsi:type="dcterms:W3CDTF">2026-10-02T00:28:51Z</dcterms:modified>
</cp:coreProperties>
</file>